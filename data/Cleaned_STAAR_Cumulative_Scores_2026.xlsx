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a64613e90768f34/Desktop/Data Science Projects/Covid STAAR Analysis/"/>
    </mc:Choice>
  </mc:AlternateContent>
  <xr:revisionPtr revIDLastSave="85" documentId="11_F25DC773A252ABDACC1048C2A91D51545BDE58ED" xr6:coauthVersionLast="47" xr6:coauthVersionMax="47" xr10:uidLastSave="{22577B71-FAFF-4FE8-AC83-50AE2321329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53" i="1"/>
  <c r="B55" i="1"/>
  <c r="I42" i="1"/>
  <c r="I43" i="1"/>
  <c r="I44" i="1"/>
  <c r="I45" i="1"/>
  <c r="I46" i="1"/>
  <c r="I47" i="1"/>
  <c r="I48" i="1"/>
  <c r="I49" i="1"/>
  <c r="I50" i="1"/>
  <c r="I51" i="1"/>
  <c r="I52" i="1"/>
  <c r="I53" i="1"/>
  <c r="F42" i="1"/>
  <c r="F43" i="1"/>
  <c r="F44" i="1"/>
  <c r="F45" i="1"/>
  <c r="F46" i="1"/>
  <c r="F47" i="1"/>
  <c r="F48" i="1"/>
  <c r="F49" i="1"/>
  <c r="F50" i="1"/>
  <c r="F51" i="1"/>
  <c r="F52" i="1"/>
  <c r="F41" i="1"/>
  <c r="B43" i="1"/>
  <c r="I30" i="1"/>
  <c r="I31" i="1"/>
  <c r="I32" i="1"/>
  <c r="I33" i="1"/>
  <c r="I34" i="1"/>
  <c r="I35" i="1"/>
  <c r="I36" i="1"/>
  <c r="I37" i="1"/>
  <c r="I38" i="1"/>
  <c r="I39" i="1"/>
  <c r="I40" i="1"/>
  <c r="I41" i="1"/>
  <c r="F30" i="1"/>
  <c r="F31" i="1"/>
  <c r="F32" i="1"/>
  <c r="F33" i="1"/>
  <c r="F34" i="1"/>
  <c r="F35" i="1"/>
  <c r="F36" i="1"/>
  <c r="F37" i="1"/>
  <c r="F38" i="1"/>
  <c r="F39" i="1"/>
  <c r="F40" i="1"/>
  <c r="B31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16" i="1"/>
  <c r="B17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B3" i="1"/>
  <c r="I2" i="1"/>
</calcChain>
</file>

<file path=xl/sharedStrings.xml><?xml version="1.0" encoding="utf-8"?>
<sst xmlns="http://schemas.openxmlformats.org/spreadsheetml/2006/main" count="76" uniqueCount="15">
  <si>
    <t>subject</t>
  </si>
  <si>
    <t>year</t>
  </si>
  <si>
    <t>tests_taken</t>
  </si>
  <si>
    <t>avg_scale_score</t>
  </si>
  <si>
    <t>unsatisfactory_percent</t>
  </si>
  <si>
    <t>approaches_to_meets_percent</t>
  </si>
  <si>
    <t>advanced_percent</t>
  </si>
  <si>
    <t>unsatisfactory_count</t>
  </si>
  <si>
    <t>approaches_to_meets_count</t>
  </si>
  <si>
    <t>advanced_count</t>
  </si>
  <si>
    <t>Algebra_I</t>
  </si>
  <si>
    <t>Biology</t>
  </si>
  <si>
    <t>English_I</t>
  </si>
  <si>
    <t>English_II</t>
  </si>
  <si>
    <t>US_History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</si>
</sst>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22" workbookViewId="0">
      <selection activeCell="I74" sqref="I74"/>
    </sheetView>
  </sheetViews>
  <sheetFormatPr defaultRowHeight="15" x14ac:dyDescent="0.25"/>
  <cols>
    <col min="1" max="1" width="10.5703125" bestFit="1" customWidth="1"/>
    <col min="3" max="3" width="11.28515625" bestFit="1" customWidth="1"/>
    <col min="4" max="4" width="15.28515625" bestFit="1" customWidth="1"/>
    <col min="5" max="5" width="21.7109375" bestFit="1" customWidth="1"/>
    <col min="6" max="6" width="29" bestFit="1" customWidth="1"/>
    <col min="7" max="7" width="17.5703125" bestFit="1" customWidth="1"/>
    <col min="8" max="8" width="19.7109375" bestFit="1" customWidth="1"/>
    <col min="9" max="9" width="27.140625" bestFit="1" customWidth="1"/>
    <col min="10" max="10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2026</v>
      </c>
      <c r="C2">
        <v>447975</v>
      </c>
      <c r="D2">
        <v>4112</v>
      </c>
      <c r="E2">
        <v>18</v>
      </c>
      <c r="F2">
        <v>52</v>
      </c>
      <c r="G2">
        <v>30</v>
      </c>
      <c r="H2">
        <v>80093</v>
      </c>
      <c r="I2">
        <f>C2-(H2+J2)</f>
        <v>233002</v>
      </c>
      <c r="J2">
        <v>134880</v>
      </c>
    </row>
    <row r="3" spans="1:10" x14ac:dyDescent="0.25">
      <c r="A3" t="s">
        <v>10</v>
      </c>
      <c r="B3">
        <f>2025</f>
        <v>2025</v>
      </c>
      <c r="C3">
        <v>455623</v>
      </c>
      <c r="D3">
        <v>4051</v>
      </c>
      <c r="E3">
        <v>24</v>
      </c>
      <c r="F3">
        <f>100 - (E3+G3)</f>
        <v>47</v>
      </c>
      <c r="G3">
        <v>29</v>
      </c>
      <c r="H3">
        <v>109333</v>
      </c>
      <c r="I3">
        <f>C3-(H3+J3)</f>
        <v>215214</v>
      </c>
      <c r="J3">
        <v>131076</v>
      </c>
    </row>
    <row r="4" spans="1:10" x14ac:dyDescent="0.25">
      <c r="A4" t="s">
        <v>10</v>
      </c>
      <c r="B4">
        <v>2024</v>
      </c>
      <c r="C4">
        <v>467453</v>
      </c>
      <c r="D4">
        <v>4009</v>
      </c>
      <c r="E4">
        <v>21</v>
      </c>
      <c r="F4">
        <f t="shared" ref="F4:F15" si="0">100 - (E4+G4)</f>
        <v>54</v>
      </c>
      <c r="G4">
        <v>25</v>
      </c>
      <c r="H4">
        <v>98678</v>
      </c>
      <c r="I4">
        <f t="shared" ref="I4:I15" si="1">C4-(H4+J4)</f>
        <v>251569</v>
      </c>
      <c r="J4">
        <v>117206</v>
      </c>
    </row>
    <row r="5" spans="1:10" x14ac:dyDescent="0.25">
      <c r="A5" t="s">
        <v>10</v>
      </c>
      <c r="B5">
        <v>2023</v>
      </c>
      <c r="C5">
        <v>476740</v>
      </c>
      <c r="D5">
        <v>3995</v>
      </c>
      <c r="E5">
        <v>22</v>
      </c>
      <c r="F5">
        <f t="shared" si="0"/>
        <v>54</v>
      </c>
      <c r="G5">
        <v>24</v>
      </c>
      <c r="H5">
        <v>103868</v>
      </c>
      <c r="I5">
        <f t="shared" si="1"/>
        <v>256416</v>
      </c>
      <c r="J5">
        <v>116456</v>
      </c>
    </row>
    <row r="6" spans="1:10" x14ac:dyDescent="0.25">
      <c r="A6" t="s">
        <v>10</v>
      </c>
      <c r="B6">
        <v>2022</v>
      </c>
      <c r="C6">
        <v>473672</v>
      </c>
      <c r="D6">
        <v>4004</v>
      </c>
      <c r="E6">
        <v>26</v>
      </c>
      <c r="F6">
        <f t="shared" si="0"/>
        <v>44</v>
      </c>
      <c r="G6">
        <v>30</v>
      </c>
      <c r="H6">
        <v>125168</v>
      </c>
      <c r="I6">
        <f t="shared" si="1"/>
        <v>207755</v>
      </c>
      <c r="J6">
        <v>140749</v>
      </c>
    </row>
    <row r="7" spans="1:10" x14ac:dyDescent="0.25">
      <c r="A7" t="s">
        <v>10</v>
      </c>
      <c r="B7">
        <v>2021</v>
      </c>
      <c r="C7">
        <v>396272</v>
      </c>
      <c r="D7">
        <v>3933</v>
      </c>
      <c r="E7">
        <v>28</v>
      </c>
      <c r="F7">
        <f t="shared" si="0"/>
        <v>49</v>
      </c>
      <c r="G7">
        <v>23</v>
      </c>
      <c r="H7">
        <v>112059</v>
      </c>
      <c r="I7">
        <f t="shared" si="1"/>
        <v>192317</v>
      </c>
      <c r="J7">
        <v>91896</v>
      </c>
    </row>
    <row r="8" spans="1:10" x14ac:dyDescent="0.25">
      <c r="A8" t="s">
        <v>10</v>
      </c>
      <c r="B8">
        <v>2019</v>
      </c>
      <c r="C8">
        <v>416354</v>
      </c>
      <c r="D8">
        <v>4190</v>
      </c>
      <c r="E8">
        <v>16</v>
      </c>
      <c r="F8">
        <f t="shared" si="0"/>
        <v>45</v>
      </c>
      <c r="G8">
        <v>39</v>
      </c>
      <c r="H8">
        <v>67437</v>
      </c>
      <c r="I8">
        <f t="shared" si="1"/>
        <v>184804</v>
      </c>
      <c r="J8">
        <v>164113</v>
      </c>
    </row>
    <row r="9" spans="1:10" x14ac:dyDescent="0.25">
      <c r="A9" t="s">
        <v>10</v>
      </c>
      <c r="B9">
        <v>2018</v>
      </c>
      <c r="C9">
        <v>420255</v>
      </c>
      <c r="D9">
        <v>4108</v>
      </c>
      <c r="E9">
        <v>17</v>
      </c>
      <c r="F9">
        <f t="shared" si="0"/>
        <v>49</v>
      </c>
      <c r="G9">
        <v>34</v>
      </c>
      <c r="H9">
        <v>70342</v>
      </c>
      <c r="I9">
        <f t="shared" si="1"/>
        <v>209028</v>
      </c>
      <c r="J9">
        <v>140885</v>
      </c>
    </row>
    <row r="10" spans="1:10" x14ac:dyDescent="0.25">
      <c r="A10" t="s">
        <v>10</v>
      </c>
      <c r="B10">
        <v>2017</v>
      </c>
      <c r="C10">
        <v>433496</v>
      </c>
      <c r="D10">
        <v>4038</v>
      </c>
      <c r="E10">
        <v>18</v>
      </c>
      <c r="F10">
        <f t="shared" si="0"/>
        <v>55</v>
      </c>
      <c r="G10">
        <v>27</v>
      </c>
      <c r="H10">
        <v>77102</v>
      </c>
      <c r="I10">
        <f t="shared" si="1"/>
        <v>238579</v>
      </c>
      <c r="J10">
        <v>117815</v>
      </c>
    </row>
    <row r="11" spans="1:10" x14ac:dyDescent="0.25">
      <c r="A11" t="s">
        <v>10</v>
      </c>
      <c r="B11">
        <v>2016</v>
      </c>
      <c r="C11">
        <v>391110</v>
      </c>
      <c r="D11">
        <v>4009</v>
      </c>
      <c r="E11">
        <v>19</v>
      </c>
      <c r="F11">
        <f t="shared" si="0"/>
        <v>56</v>
      </c>
      <c r="G11">
        <v>25</v>
      </c>
      <c r="H11">
        <v>75595</v>
      </c>
      <c r="I11">
        <f t="shared" si="1"/>
        <v>216698</v>
      </c>
      <c r="J11">
        <v>98817</v>
      </c>
    </row>
    <row r="12" spans="1:10" x14ac:dyDescent="0.25">
      <c r="A12" t="s">
        <v>10</v>
      </c>
      <c r="B12">
        <v>2015</v>
      </c>
      <c r="C12">
        <v>392922</v>
      </c>
      <c r="D12">
        <v>3942</v>
      </c>
      <c r="E12">
        <v>19</v>
      </c>
      <c r="F12">
        <f t="shared" si="0"/>
        <v>60</v>
      </c>
      <c r="G12">
        <v>21</v>
      </c>
      <c r="H12">
        <v>76377</v>
      </c>
      <c r="I12">
        <f t="shared" si="1"/>
        <v>232671</v>
      </c>
      <c r="J12">
        <v>83874</v>
      </c>
    </row>
    <row r="13" spans="1:10" x14ac:dyDescent="0.25">
      <c r="A13" t="s">
        <v>10</v>
      </c>
      <c r="B13">
        <v>2014</v>
      </c>
      <c r="C13">
        <v>388672</v>
      </c>
      <c r="D13">
        <v>3902</v>
      </c>
      <c r="E13">
        <v>19</v>
      </c>
      <c r="F13">
        <f t="shared" si="0"/>
        <v>63</v>
      </c>
      <c r="G13">
        <v>18</v>
      </c>
      <c r="H13">
        <v>73975</v>
      </c>
      <c r="I13">
        <f t="shared" si="1"/>
        <v>245252</v>
      </c>
      <c r="J13">
        <v>69445</v>
      </c>
    </row>
    <row r="14" spans="1:10" x14ac:dyDescent="0.25">
      <c r="A14" t="s">
        <v>10</v>
      </c>
      <c r="B14">
        <v>2013</v>
      </c>
      <c r="C14">
        <v>364613</v>
      </c>
      <c r="D14">
        <v>3874</v>
      </c>
      <c r="E14">
        <v>22</v>
      </c>
      <c r="F14">
        <f t="shared" si="0"/>
        <v>62</v>
      </c>
      <c r="G14">
        <v>16</v>
      </c>
      <c r="H14">
        <v>78535</v>
      </c>
      <c r="I14">
        <f t="shared" si="1"/>
        <v>227776</v>
      </c>
      <c r="J14">
        <v>58302</v>
      </c>
    </row>
    <row r="15" spans="1:10" x14ac:dyDescent="0.25">
      <c r="A15" t="s">
        <v>10</v>
      </c>
      <c r="B15">
        <v>2012</v>
      </c>
      <c r="C15">
        <v>333589</v>
      </c>
      <c r="D15">
        <v>3903</v>
      </c>
      <c r="E15">
        <v>17</v>
      </c>
      <c r="F15">
        <f t="shared" si="0"/>
        <v>66</v>
      </c>
      <c r="G15">
        <v>17</v>
      </c>
      <c r="H15">
        <v>57679</v>
      </c>
      <c r="I15">
        <f t="shared" si="1"/>
        <v>220066</v>
      </c>
      <c r="J15">
        <v>55844</v>
      </c>
    </row>
    <row r="16" spans="1:10" x14ac:dyDescent="0.25">
      <c r="A16" t="s">
        <v>11</v>
      </c>
      <c r="B16">
        <v>2026</v>
      </c>
      <c r="C16">
        <v>416984</v>
      </c>
      <c r="D16">
        <v>4327</v>
      </c>
      <c r="E16">
        <v>7</v>
      </c>
      <c r="F16">
        <f>100-(E16+G16)</f>
        <v>58</v>
      </c>
      <c r="G16">
        <v>35</v>
      </c>
      <c r="H16">
        <v>27159</v>
      </c>
      <c r="I16">
        <f>C16-(H16+J16)</f>
        <v>244641</v>
      </c>
      <c r="J16">
        <v>145184</v>
      </c>
    </row>
    <row r="17" spans="1:10" x14ac:dyDescent="0.25">
      <c r="A17" t="s">
        <v>11</v>
      </c>
      <c r="B17">
        <f>2025</f>
        <v>2025</v>
      </c>
      <c r="C17">
        <v>423312</v>
      </c>
      <c r="D17">
        <v>4151</v>
      </c>
      <c r="E17">
        <v>9</v>
      </c>
      <c r="F17">
        <f t="shared" ref="F17:F41" si="2">100-(E17+G17)</f>
        <v>70</v>
      </c>
      <c r="G17">
        <v>21</v>
      </c>
      <c r="H17">
        <v>39021</v>
      </c>
      <c r="I17">
        <f t="shared" ref="I17:I67" si="3">C17-(H17+J17)</f>
        <v>296640</v>
      </c>
      <c r="J17">
        <v>87651</v>
      </c>
    </row>
    <row r="18" spans="1:10" x14ac:dyDescent="0.25">
      <c r="A18" t="s">
        <v>11</v>
      </c>
      <c r="B18">
        <v>2024</v>
      </c>
      <c r="C18">
        <v>439219</v>
      </c>
      <c r="D18">
        <v>4122</v>
      </c>
      <c r="E18">
        <v>9</v>
      </c>
      <c r="F18">
        <f t="shared" si="2"/>
        <v>72</v>
      </c>
      <c r="G18">
        <v>19</v>
      </c>
      <c r="H18">
        <v>41532</v>
      </c>
      <c r="I18">
        <f t="shared" si="3"/>
        <v>314935</v>
      </c>
      <c r="J18">
        <v>82752</v>
      </c>
    </row>
    <row r="19" spans="1:10" x14ac:dyDescent="0.25">
      <c r="A19" t="s">
        <v>11</v>
      </c>
      <c r="B19">
        <v>2023</v>
      </c>
      <c r="C19">
        <v>461494</v>
      </c>
      <c r="D19">
        <v>4118</v>
      </c>
      <c r="E19">
        <v>11</v>
      </c>
      <c r="F19">
        <f t="shared" si="2"/>
        <v>67</v>
      </c>
      <c r="G19">
        <v>22</v>
      </c>
      <c r="H19">
        <v>53036</v>
      </c>
      <c r="I19">
        <f t="shared" si="3"/>
        <v>309088</v>
      </c>
      <c r="J19">
        <v>99370</v>
      </c>
    </row>
    <row r="20" spans="1:10" x14ac:dyDescent="0.25">
      <c r="A20" t="s">
        <v>11</v>
      </c>
      <c r="B20">
        <v>2022</v>
      </c>
      <c r="C20">
        <v>446155</v>
      </c>
      <c r="D20">
        <v>4122</v>
      </c>
      <c r="E20">
        <v>18</v>
      </c>
      <c r="F20">
        <f t="shared" si="2"/>
        <v>59</v>
      </c>
      <c r="G20">
        <v>23</v>
      </c>
      <c r="H20">
        <v>78166</v>
      </c>
      <c r="I20">
        <f t="shared" si="3"/>
        <v>267328</v>
      </c>
      <c r="J20">
        <v>100661</v>
      </c>
    </row>
    <row r="21" spans="1:10" x14ac:dyDescent="0.25">
      <c r="A21" t="s">
        <v>11</v>
      </c>
      <c r="B21">
        <v>2021</v>
      </c>
      <c r="C21">
        <v>392222</v>
      </c>
      <c r="D21">
        <v>4116</v>
      </c>
      <c r="E21">
        <v>19</v>
      </c>
      <c r="F21">
        <f t="shared" si="2"/>
        <v>59</v>
      </c>
      <c r="G21">
        <v>22</v>
      </c>
      <c r="H21">
        <v>74920</v>
      </c>
      <c r="I21">
        <f t="shared" si="3"/>
        <v>232033</v>
      </c>
      <c r="J21">
        <v>85269</v>
      </c>
    </row>
    <row r="22" spans="1:10" x14ac:dyDescent="0.25">
      <c r="A22" t="s">
        <v>11</v>
      </c>
      <c r="B22">
        <v>2019</v>
      </c>
      <c r="C22">
        <v>409371</v>
      </c>
      <c r="D22">
        <v>4199</v>
      </c>
      <c r="E22">
        <v>12</v>
      </c>
      <c r="F22">
        <f t="shared" si="2"/>
        <v>62</v>
      </c>
      <c r="G22">
        <v>26</v>
      </c>
      <c r="H22">
        <v>49963</v>
      </c>
      <c r="I22">
        <f t="shared" si="3"/>
        <v>253464</v>
      </c>
      <c r="J22">
        <v>105944</v>
      </c>
    </row>
    <row r="23" spans="1:10" x14ac:dyDescent="0.25">
      <c r="A23" t="s">
        <v>11</v>
      </c>
      <c r="B23">
        <v>2018</v>
      </c>
      <c r="C23">
        <v>410500</v>
      </c>
      <c r="D23">
        <v>4167</v>
      </c>
      <c r="E23">
        <v>13</v>
      </c>
      <c r="F23">
        <f t="shared" si="2"/>
        <v>63</v>
      </c>
      <c r="G23">
        <v>24</v>
      </c>
      <c r="H23">
        <v>55220</v>
      </c>
      <c r="I23">
        <f t="shared" si="3"/>
        <v>255071</v>
      </c>
      <c r="J23">
        <v>100209</v>
      </c>
    </row>
    <row r="24" spans="1:10" x14ac:dyDescent="0.25">
      <c r="A24" t="s">
        <v>11</v>
      </c>
      <c r="B24">
        <v>2017</v>
      </c>
      <c r="C24">
        <v>403989</v>
      </c>
      <c r="D24">
        <v>4125</v>
      </c>
      <c r="E24">
        <v>15</v>
      </c>
      <c r="F24">
        <f t="shared" si="2"/>
        <v>64</v>
      </c>
      <c r="G24">
        <v>21</v>
      </c>
      <c r="H24">
        <v>58687</v>
      </c>
      <c r="I24">
        <f t="shared" si="3"/>
        <v>259581</v>
      </c>
      <c r="J24">
        <v>85721</v>
      </c>
    </row>
    <row r="25" spans="1:10" x14ac:dyDescent="0.25">
      <c r="A25" t="s">
        <v>11</v>
      </c>
      <c r="B25">
        <v>2016</v>
      </c>
      <c r="C25">
        <v>362900</v>
      </c>
      <c r="D25">
        <v>4139</v>
      </c>
      <c r="E25">
        <v>9</v>
      </c>
      <c r="F25">
        <f t="shared" si="2"/>
        <v>71</v>
      </c>
      <c r="G25">
        <v>20</v>
      </c>
      <c r="H25">
        <v>33441</v>
      </c>
      <c r="I25">
        <f t="shared" si="3"/>
        <v>257270</v>
      </c>
      <c r="J25">
        <v>72189</v>
      </c>
    </row>
    <row r="26" spans="1:10" x14ac:dyDescent="0.25">
      <c r="A26" t="s">
        <v>11</v>
      </c>
      <c r="B26">
        <v>2015</v>
      </c>
      <c r="C26">
        <v>352313</v>
      </c>
      <c r="D26">
        <v>4102</v>
      </c>
      <c r="E26">
        <v>8</v>
      </c>
      <c r="F26">
        <f t="shared" si="2"/>
        <v>74</v>
      </c>
      <c r="G26">
        <v>18</v>
      </c>
      <c r="H26">
        <v>29353</v>
      </c>
      <c r="I26">
        <f t="shared" si="3"/>
        <v>258886</v>
      </c>
      <c r="J26">
        <v>64074</v>
      </c>
    </row>
    <row r="27" spans="1:10" x14ac:dyDescent="0.25">
      <c r="A27" t="s">
        <v>11</v>
      </c>
      <c r="B27">
        <v>2014</v>
      </c>
      <c r="C27">
        <v>359669</v>
      </c>
      <c r="D27">
        <v>4010</v>
      </c>
      <c r="E27">
        <v>9</v>
      </c>
      <c r="F27">
        <f t="shared" si="2"/>
        <v>79</v>
      </c>
      <c r="G27">
        <v>12</v>
      </c>
      <c r="H27">
        <v>33950</v>
      </c>
      <c r="I27">
        <f t="shared" si="3"/>
        <v>283955</v>
      </c>
      <c r="J27">
        <v>41764</v>
      </c>
    </row>
    <row r="28" spans="1:10" x14ac:dyDescent="0.25">
      <c r="A28" t="s">
        <v>11</v>
      </c>
      <c r="B28">
        <v>2013</v>
      </c>
      <c r="C28">
        <v>358797</v>
      </c>
      <c r="D28">
        <v>3976</v>
      </c>
      <c r="E28">
        <v>15</v>
      </c>
      <c r="F28">
        <f t="shared" si="2"/>
        <v>73</v>
      </c>
      <c r="G28">
        <v>12</v>
      </c>
      <c r="H28">
        <v>52841</v>
      </c>
      <c r="I28">
        <f t="shared" si="3"/>
        <v>261492</v>
      </c>
      <c r="J28">
        <v>44464</v>
      </c>
    </row>
    <row r="29" spans="1:10" x14ac:dyDescent="0.25">
      <c r="A29" t="s">
        <v>11</v>
      </c>
      <c r="B29">
        <v>2012</v>
      </c>
      <c r="C29">
        <v>319072</v>
      </c>
      <c r="D29">
        <v>3927</v>
      </c>
      <c r="E29">
        <v>13</v>
      </c>
      <c r="F29">
        <f t="shared" si="2"/>
        <v>78</v>
      </c>
      <c r="G29">
        <v>9</v>
      </c>
      <c r="H29">
        <v>41407</v>
      </c>
      <c r="I29">
        <f t="shared" si="3"/>
        <v>248777</v>
      </c>
      <c r="J29">
        <v>28888</v>
      </c>
    </row>
    <row r="30" spans="1:10" x14ac:dyDescent="0.25">
      <c r="A30" t="s">
        <v>12</v>
      </c>
      <c r="B30">
        <v>2026</v>
      </c>
      <c r="C30">
        <v>464818</v>
      </c>
      <c r="D30">
        <v>4062</v>
      </c>
      <c r="E30">
        <v>28</v>
      </c>
      <c r="F30">
        <f t="shared" si="2"/>
        <v>59</v>
      </c>
      <c r="G30">
        <v>13</v>
      </c>
      <c r="H30">
        <v>131979</v>
      </c>
      <c r="I30">
        <f t="shared" si="3"/>
        <v>270671</v>
      </c>
      <c r="J30">
        <v>62168</v>
      </c>
    </row>
    <row r="31" spans="1:10" x14ac:dyDescent="0.25">
      <c r="A31" t="s">
        <v>12</v>
      </c>
      <c r="B31">
        <f>2025</f>
        <v>2025</v>
      </c>
      <c r="C31">
        <v>483644</v>
      </c>
      <c r="D31">
        <v>4039</v>
      </c>
      <c r="E31">
        <v>34</v>
      </c>
      <c r="F31">
        <f t="shared" si="2"/>
        <v>50</v>
      </c>
      <c r="G31">
        <v>16</v>
      </c>
      <c r="H31">
        <v>163255</v>
      </c>
      <c r="I31">
        <f t="shared" si="3"/>
        <v>245090</v>
      </c>
      <c r="J31">
        <v>75299</v>
      </c>
    </row>
    <row r="32" spans="1:10" x14ac:dyDescent="0.25">
      <c r="A32" t="s">
        <v>12</v>
      </c>
      <c r="B32">
        <v>2024</v>
      </c>
      <c r="C32">
        <v>488005</v>
      </c>
      <c r="D32">
        <v>4069</v>
      </c>
      <c r="E32">
        <v>33</v>
      </c>
      <c r="F32">
        <f t="shared" si="2"/>
        <v>50</v>
      </c>
      <c r="G32">
        <v>17</v>
      </c>
      <c r="H32">
        <v>162121</v>
      </c>
      <c r="I32">
        <f t="shared" si="3"/>
        <v>243030</v>
      </c>
      <c r="J32">
        <v>82854</v>
      </c>
    </row>
    <row r="33" spans="1:10" x14ac:dyDescent="0.25">
      <c r="A33" t="s">
        <v>12</v>
      </c>
      <c r="B33">
        <v>2023</v>
      </c>
      <c r="C33">
        <v>517385</v>
      </c>
      <c r="D33">
        <v>4054</v>
      </c>
      <c r="E33">
        <v>29</v>
      </c>
      <c r="F33">
        <f t="shared" si="2"/>
        <v>57</v>
      </c>
      <c r="G33">
        <v>14</v>
      </c>
      <c r="H33">
        <v>151876</v>
      </c>
      <c r="I33">
        <f t="shared" si="3"/>
        <v>292270</v>
      </c>
      <c r="J33">
        <v>73239</v>
      </c>
    </row>
    <row r="34" spans="1:10" x14ac:dyDescent="0.25">
      <c r="A34" t="s">
        <v>12</v>
      </c>
      <c r="B34">
        <v>2022</v>
      </c>
      <c r="C34">
        <v>499921</v>
      </c>
      <c r="D34">
        <v>3971</v>
      </c>
      <c r="E34">
        <v>37</v>
      </c>
      <c r="F34">
        <f t="shared" si="2"/>
        <v>52</v>
      </c>
      <c r="G34">
        <v>11</v>
      </c>
      <c r="H34">
        <v>186590</v>
      </c>
      <c r="I34">
        <f t="shared" si="3"/>
        <v>258881</v>
      </c>
      <c r="J34">
        <v>54450</v>
      </c>
    </row>
    <row r="35" spans="1:10" x14ac:dyDescent="0.25">
      <c r="A35" t="s">
        <v>12</v>
      </c>
      <c r="B35">
        <v>2021</v>
      </c>
      <c r="C35">
        <v>415929</v>
      </c>
      <c r="D35">
        <v>4003</v>
      </c>
      <c r="E35">
        <v>34</v>
      </c>
      <c r="F35">
        <f t="shared" si="2"/>
        <v>54</v>
      </c>
      <c r="G35">
        <v>12</v>
      </c>
      <c r="H35">
        <v>142414</v>
      </c>
      <c r="I35">
        <f t="shared" si="3"/>
        <v>221964</v>
      </c>
      <c r="J35">
        <v>51551</v>
      </c>
    </row>
    <row r="36" spans="1:10" x14ac:dyDescent="0.25">
      <c r="A36" t="s">
        <v>12</v>
      </c>
      <c r="B36">
        <v>2019</v>
      </c>
      <c r="C36">
        <v>467850</v>
      </c>
      <c r="D36">
        <v>3978</v>
      </c>
      <c r="E36">
        <v>37</v>
      </c>
      <c r="F36">
        <f t="shared" si="2"/>
        <v>51</v>
      </c>
      <c r="G36">
        <v>12</v>
      </c>
      <c r="H36">
        <v>170905</v>
      </c>
      <c r="I36">
        <f t="shared" si="3"/>
        <v>240977</v>
      </c>
      <c r="J36">
        <v>55968</v>
      </c>
    </row>
    <row r="37" spans="1:10" x14ac:dyDescent="0.25">
      <c r="A37" t="s">
        <v>12</v>
      </c>
      <c r="B37">
        <v>2018</v>
      </c>
      <c r="C37">
        <v>474424</v>
      </c>
      <c r="D37">
        <v>3913</v>
      </c>
      <c r="E37">
        <v>40</v>
      </c>
      <c r="F37">
        <f t="shared" si="2"/>
        <v>53</v>
      </c>
      <c r="G37">
        <v>7</v>
      </c>
      <c r="H37">
        <v>189341</v>
      </c>
      <c r="I37">
        <f t="shared" si="3"/>
        <v>249845</v>
      </c>
      <c r="J37">
        <v>35238</v>
      </c>
    </row>
    <row r="38" spans="1:10" x14ac:dyDescent="0.25">
      <c r="A38" t="s">
        <v>12</v>
      </c>
      <c r="B38">
        <v>2017</v>
      </c>
      <c r="C38">
        <v>479552</v>
      </c>
      <c r="D38">
        <v>3922</v>
      </c>
      <c r="E38">
        <v>40</v>
      </c>
      <c r="F38">
        <f t="shared" si="2"/>
        <v>52</v>
      </c>
      <c r="G38">
        <v>8</v>
      </c>
      <c r="H38">
        <v>193717</v>
      </c>
      <c r="I38">
        <f t="shared" si="3"/>
        <v>248110</v>
      </c>
      <c r="J38">
        <v>37725</v>
      </c>
    </row>
    <row r="39" spans="1:10" x14ac:dyDescent="0.25">
      <c r="A39" t="s">
        <v>12</v>
      </c>
      <c r="B39">
        <v>2016</v>
      </c>
      <c r="C39">
        <v>431972</v>
      </c>
      <c r="D39">
        <v>3942</v>
      </c>
      <c r="E39">
        <v>37</v>
      </c>
      <c r="F39">
        <f t="shared" si="2"/>
        <v>55</v>
      </c>
      <c r="G39">
        <v>8</v>
      </c>
      <c r="H39">
        <v>160068</v>
      </c>
      <c r="I39">
        <f t="shared" si="3"/>
        <v>237724</v>
      </c>
      <c r="J39">
        <v>34180</v>
      </c>
    </row>
    <row r="40" spans="1:10" x14ac:dyDescent="0.25">
      <c r="A40" t="s">
        <v>12</v>
      </c>
      <c r="B40">
        <v>2015</v>
      </c>
      <c r="C40">
        <v>418457</v>
      </c>
      <c r="D40">
        <v>3941</v>
      </c>
      <c r="E40">
        <v>37</v>
      </c>
      <c r="F40">
        <f t="shared" si="2"/>
        <v>55</v>
      </c>
      <c r="G40">
        <v>8</v>
      </c>
      <c r="H40">
        <v>155219</v>
      </c>
      <c r="I40">
        <f t="shared" si="3"/>
        <v>227816</v>
      </c>
      <c r="J40">
        <v>35422</v>
      </c>
    </row>
    <row r="41" spans="1:10" x14ac:dyDescent="0.25">
      <c r="A41" t="s">
        <v>12</v>
      </c>
      <c r="B41">
        <v>2014</v>
      </c>
      <c r="C41">
        <v>469913</v>
      </c>
      <c r="D41">
        <v>3906</v>
      </c>
      <c r="E41">
        <v>38</v>
      </c>
      <c r="F41">
        <f>100-(E41+G41)</f>
        <v>56</v>
      </c>
      <c r="G41">
        <v>6</v>
      </c>
      <c r="H41">
        <v>177075</v>
      </c>
      <c r="I41">
        <f t="shared" si="3"/>
        <v>264219</v>
      </c>
      <c r="J41">
        <v>28619</v>
      </c>
    </row>
    <row r="42" spans="1:10" x14ac:dyDescent="0.25">
      <c r="A42" t="s">
        <v>13</v>
      </c>
      <c r="B42">
        <v>2026</v>
      </c>
      <c r="C42">
        <v>447273</v>
      </c>
      <c r="D42">
        <v>4082</v>
      </c>
      <c r="E42">
        <v>28</v>
      </c>
      <c r="F42">
        <f t="shared" ref="F42:F53" si="4">100-(E42+G42)</f>
        <v>63</v>
      </c>
      <c r="G42">
        <v>9</v>
      </c>
      <c r="H42">
        <v>123929</v>
      </c>
      <c r="I42">
        <f t="shared" si="3"/>
        <v>281988</v>
      </c>
      <c r="J42">
        <v>41356</v>
      </c>
    </row>
    <row r="43" spans="1:10" x14ac:dyDescent="0.25">
      <c r="A43" t="s">
        <v>13</v>
      </c>
      <c r="B43">
        <f>2025</f>
        <v>2025</v>
      </c>
      <c r="C43">
        <v>464246</v>
      </c>
      <c r="D43">
        <v>4061</v>
      </c>
      <c r="E43">
        <v>29</v>
      </c>
      <c r="F43">
        <f t="shared" si="4"/>
        <v>62</v>
      </c>
      <c r="G43">
        <v>9</v>
      </c>
      <c r="H43">
        <v>134100</v>
      </c>
      <c r="I43">
        <f t="shared" si="3"/>
        <v>290679</v>
      </c>
      <c r="J43">
        <v>39467</v>
      </c>
    </row>
    <row r="44" spans="1:10" x14ac:dyDescent="0.25">
      <c r="A44" t="s">
        <v>13</v>
      </c>
      <c r="B44">
        <v>2024</v>
      </c>
      <c r="C44">
        <v>464030</v>
      </c>
      <c r="D44">
        <v>4093</v>
      </c>
      <c r="E44">
        <v>26</v>
      </c>
      <c r="F44">
        <f t="shared" si="4"/>
        <v>65</v>
      </c>
      <c r="G44">
        <v>9</v>
      </c>
      <c r="H44">
        <v>119060</v>
      </c>
      <c r="I44">
        <f t="shared" si="3"/>
        <v>304896</v>
      </c>
      <c r="J44">
        <v>40074</v>
      </c>
    </row>
    <row r="45" spans="1:10" x14ac:dyDescent="0.25">
      <c r="A45" t="s">
        <v>13</v>
      </c>
      <c r="B45">
        <v>2023</v>
      </c>
      <c r="C45">
        <v>469426</v>
      </c>
      <c r="D45">
        <v>4064</v>
      </c>
      <c r="E45">
        <v>26</v>
      </c>
      <c r="F45">
        <f t="shared" si="4"/>
        <v>65</v>
      </c>
      <c r="G45">
        <v>9</v>
      </c>
      <c r="H45">
        <v>123236</v>
      </c>
      <c r="I45">
        <f t="shared" si="3"/>
        <v>304903</v>
      </c>
      <c r="J45">
        <v>41287</v>
      </c>
    </row>
    <row r="46" spans="1:10" x14ac:dyDescent="0.25">
      <c r="A46" t="s">
        <v>13</v>
      </c>
      <c r="B46">
        <v>2022</v>
      </c>
      <c r="C46">
        <v>441811</v>
      </c>
      <c r="D46">
        <v>4081</v>
      </c>
      <c r="E46">
        <v>29</v>
      </c>
      <c r="F46">
        <f t="shared" si="4"/>
        <v>62</v>
      </c>
      <c r="G46">
        <v>9</v>
      </c>
      <c r="H46">
        <v>128704</v>
      </c>
      <c r="I46">
        <f t="shared" si="3"/>
        <v>274414</v>
      </c>
      <c r="J46">
        <v>38693</v>
      </c>
    </row>
    <row r="47" spans="1:10" x14ac:dyDescent="0.25">
      <c r="A47" t="s">
        <v>13</v>
      </c>
      <c r="B47">
        <v>2021</v>
      </c>
      <c r="C47">
        <v>393559</v>
      </c>
      <c r="D47">
        <v>4080</v>
      </c>
      <c r="E47">
        <v>30</v>
      </c>
      <c r="F47">
        <f t="shared" si="4"/>
        <v>59</v>
      </c>
      <c r="G47">
        <v>11</v>
      </c>
      <c r="H47">
        <v>117340</v>
      </c>
      <c r="I47">
        <f t="shared" si="3"/>
        <v>233543</v>
      </c>
      <c r="J47">
        <v>42676</v>
      </c>
    </row>
    <row r="48" spans="1:10" x14ac:dyDescent="0.25">
      <c r="A48" t="s">
        <v>13</v>
      </c>
      <c r="B48">
        <v>2019</v>
      </c>
      <c r="C48">
        <v>445466</v>
      </c>
      <c r="D48">
        <v>4017</v>
      </c>
      <c r="E48">
        <v>33</v>
      </c>
      <c r="F48">
        <f t="shared" si="4"/>
        <v>59</v>
      </c>
      <c r="G48">
        <v>8</v>
      </c>
      <c r="H48">
        <v>145518</v>
      </c>
      <c r="I48">
        <f t="shared" si="3"/>
        <v>263376</v>
      </c>
      <c r="J48">
        <v>36572</v>
      </c>
    </row>
    <row r="49" spans="1:10" x14ac:dyDescent="0.25">
      <c r="A49" t="s">
        <v>13</v>
      </c>
      <c r="B49">
        <v>2018</v>
      </c>
      <c r="C49">
        <v>445287</v>
      </c>
      <c r="D49">
        <v>3984</v>
      </c>
      <c r="E49">
        <v>34</v>
      </c>
      <c r="F49">
        <f t="shared" si="4"/>
        <v>58</v>
      </c>
      <c r="G49">
        <v>8</v>
      </c>
      <c r="H49">
        <v>153170</v>
      </c>
      <c r="I49">
        <f t="shared" si="3"/>
        <v>254981</v>
      </c>
      <c r="J49">
        <v>37136</v>
      </c>
    </row>
    <row r="50" spans="1:10" x14ac:dyDescent="0.25">
      <c r="A50" t="s">
        <v>13</v>
      </c>
      <c r="B50">
        <v>2017</v>
      </c>
      <c r="C50">
        <v>435855</v>
      </c>
      <c r="D50">
        <v>3950</v>
      </c>
      <c r="E50">
        <v>38</v>
      </c>
      <c r="F50">
        <f t="shared" si="4"/>
        <v>56</v>
      </c>
      <c r="G50">
        <v>6</v>
      </c>
      <c r="H50">
        <v>164150</v>
      </c>
      <c r="I50">
        <f t="shared" si="3"/>
        <v>243410</v>
      </c>
      <c r="J50">
        <v>28295</v>
      </c>
    </row>
    <row r="51" spans="1:10" x14ac:dyDescent="0.25">
      <c r="A51" t="s">
        <v>13</v>
      </c>
      <c r="B51">
        <v>2016</v>
      </c>
      <c r="C51">
        <v>399897</v>
      </c>
      <c r="D51">
        <v>3969</v>
      </c>
      <c r="E51">
        <v>34</v>
      </c>
      <c r="F51">
        <f t="shared" si="4"/>
        <v>59</v>
      </c>
      <c r="G51">
        <v>7</v>
      </c>
      <c r="H51">
        <v>134693</v>
      </c>
      <c r="I51">
        <f t="shared" si="3"/>
        <v>235696</v>
      </c>
      <c r="J51">
        <v>29508</v>
      </c>
    </row>
    <row r="52" spans="1:10" x14ac:dyDescent="0.25">
      <c r="A52" t="s">
        <v>13</v>
      </c>
      <c r="B52">
        <v>2015</v>
      </c>
      <c r="C52">
        <v>380091</v>
      </c>
      <c r="D52">
        <v>3952</v>
      </c>
      <c r="E52">
        <v>34</v>
      </c>
      <c r="F52">
        <f t="shared" si="4"/>
        <v>61</v>
      </c>
      <c r="G52">
        <v>5</v>
      </c>
      <c r="H52">
        <v>128399</v>
      </c>
      <c r="I52">
        <f t="shared" si="3"/>
        <v>233670</v>
      </c>
      <c r="J52">
        <v>18022</v>
      </c>
    </row>
    <row r="53" spans="1:10" x14ac:dyDescent="0.25">
      <c r="A53" t="s">
        <v>13</v>
      </c>
      <c r="B53">
        <v>2014</v>
      </c>
      <c r="C53">
        <v>386484</v>
      </c>
      <c r="D53">
        <v>3966</v>
      </c>
      <c r="E53">
        <v>34</v>
      </c>
      <c r="F53">
        <f>100-(E53+G53)</f>
        <v>60</v>
      </c>
      <c r="G53">
        <v>6</v>
      </c>
      <c r="H53">
        <v>131612</v>
      </c>
      <c r="I53">
        <f t="shared" si="3"/>
        <v>233153</v>
      </c>
      <c r="J53">
        <v>21719</v>
      </c>
    </row>
    <row r="54" spans="1:10" x14ac:dyDescent="0.25">
      <c r="A54" t="s">
        <v>14</v>
      </c>
      <c r="B54">
        <v>2026</v>
      </c>
      <c r="C54">
        <v>390413</v>
      </c>
      <c r="D54">
        <v>4270</v>
      </c>
      <c r="E54">
        <v>7</v>
      </c>
      <c r="F54">
        <f t="shared" ref="F54:F67" si="5">100-(E54+G54)</f>
        <v>56</v>
      </c>
      <c r="G54">
        <v>37</v>
      </c>
      <c r="H54">
        <v>26687</v>
      </c>
      <c r="I54">
        <f t="shared" si="3"/>
        <v>218091</v>
      </c>
      <c r="J54">
        <v>145635</v>
      </c>
    </row>
    <row r="55" spans="1:10" x14ac:dyDescent="0.25">
      <c r="A55" t="s">
        <v>14</v>
      </c>
      <c r="B55">
        <f>2025</f>
        <v>2025</v>
      </c>
      <c r="C55">
        <v>393624</v>
      </c>
      <c r="D55">
        <v>4282</v>
      </c>
      <c r="E55">
        <v>6</v>
      </c>
      <c r="F55">
        <f t="shared" si="5"/>
        <v>57</v>
      </c>
      <c r="G55">
        <v>37</v>
      </c>
      <c r="H55">
        <v>22346</v>
      </c>
      <c r="I55">
        <f t="shared" si="3"/>
        <v>223951</v>
      </c>
      <c r="J55">
        <v>147327</v>
      </c>
    </row>
    <row r="56" spans="1:10" x14ac:dyDescent="0.25">
      <c r="A56" t="s">
        <v>14</v>
      </c>
      <c r="B56">
        <v>2024</v>
      </c>
      <c r="C56">
        <v>388340</v>
      </c>
      <c r="D56">
        <v>4266</v>
      </c>
      <c r="E56">
        <v>5</v>
      </c>
      <c r="F56">
        <f t="shared" si="5"/>
        <v>58</v>
      </c>
      <c r="G56">
        <v>37</v>
      </c>
      <c r="H56">
        <v>17786</v>
      </c>
      <c r="I56">
        <f t="shared" si="3"/>
        <v>227027</v>
      </c>
      <c r="J56">
        <v>143527</v>
      </c>
    </row>
    <row r="57" spans="1:10" x14ac:dyDescent="0.25">
      <c r="A57" t="s">
        <v>14</v>
      </c>
      <c r="B57">
        <v>2023</v>
      </c>
      <c r="C57">
        <v>380319</v>
      </c>
      <c r="D57">
        <v>4269</v>
      </c>
      <c r="E57">
        <v>5</v>
      </c>
      <c r="F57">
        <f t="shared" si="5"/>
        <v>56</v>
      </c>
      <c r="G57">
        <v>39</v>
      </c>
      <c r="H57">
        <v>19155</v>
      </c>
      <c r="I57">
        <f t="shared" si="3"/>
        <v>212587</v>
      </c>
      <c r="J57">
        <v>148577</v>
      </c>
    </row>
    <row r="58" spans="1:10" x14ac:dyDescent="0.25">
      <c r="A58" t="s">
        <v>14</v>
      </c>
      <c r="B58">
        <v>2022</v>
      </c>
      <c r="C58">
        <v>380591</v>
      </c>
      <c r="D58">
        <v>4312</v>
      </c>
      <c r="E58">
        <v>11</v>
      </c>
      <c r="F58">
        <f t="shared" si="5"/>
        <v>45</v>
      </c>
      <c r="G58">
        <v>44</v>
      </c>
      <c r="H58">
        <v>40432</v>
      </c>
      <c r="I58">
        <f t="shared" si="3"/>
        <v>171373</v>
      </c>
      <c r="J58">
        <v>168786</v>
      </c>
    </row>
    <row r="59" spans="1:10" x14ac:dyDescent="0.25">
      <c r="A59" t="s">
        <v>14</v>
      </c>
      <c r="B59">
        <v>2021</v>
      </c>
      <c r="C59">
        <v>347885</v>
      </c>
      <c r="D59">
        <v>4301</v>
      </c>
      <c r="E59">
        <v>12</v>
      </c>
      <c r="F59">
        <f t="shared" si="5"/>
        <v>45</v>
      </c>
      <c r="G59">
        <v>43</v>
      </c>
      <c r="H59">
        <v>42109</v>
      </c>
      <c r="I59">
        <f t="shared" si="3"/>
        <v>154959</v>
      </c>
      <c r="J59">
        <v>150817</v>
      </c>
    </row>
    <row r="60" spans="1:10" x14ac:dyDescent="0.25">
      <c r="A60" t="s">
        <v>14</v>
      </c>
      <c r="B60">
        <v>2019</v>
      </c>
      <c r="C60">
        <v>360061</v>
      </c>
      <c r="D60">
        <v>4352</v>
      </c>
      <c r="E60">
        <v>7</v>
      </c>
      <c r="F60">
        <f t="shared" si="5"/>
        <v>46</v>
      </c>
      <c r="G60">
        <v>47</v>
      </c>
      <c r="H60">
        <v>25080</v>
      </c>
      <c r="I60">
        <f t="shared" si="3"/>
        <v>166469</v>
      </c>
      <c r="J60">
        <v>168512</v>
      </c>
    </row>
    <row r="61" spans="1:10" x14ac:dyDescent="0.25">
      <c r="A61" t="s">
        <v>14</v>
      </c>
      <c r="B61">
        <v>2018</v>
      </c>
      <c r="C61">
        <v>356959</v>
      </c>
      <c r="D61">
        <v>4311</v>
      </c>
      <c r="E61">
        <v>8</v>
      </c>
      <c r="F61">
        <f t="shared" si="5"/>
        <v>50</v>
      </c>
      <c r="G61">
        <v>42</v>
      </c>
      <c r="H61">
        <v>28516</v>
      </c>
      <c r="I61">
        <f t="shared" si="3"/>
        <v>178726</v>
      </c>
      <c r="J61">
        <v>149717</v>
      </c>
    </row>
    <row r="62" spans="1:10" x14ac:dyDescent="0.25">
      <c r="A62" t="s">
        <v>14</v>
      </c>
      <c r="B62">
        <v>2017</v>
      </c>
      <c r="C62">
        <v>352038</v>
      </c>
      <c r="D62">
        <v>4241</v>
      </c>
      <c r="E62">
        <v>8</v>
      </c>
      <c r="F62">
        <f t="shared" si="5"/>
        <v>55</v>
      </c>
      <c r="G62">
        <v>37</v>
      </c>
      <c r="H62">
        <v>29673</v>
      </c>
      <c r="I62">
        <f t="shared" si="3"/>
        <v>193228</v>
      </c>
      <c r="J62">
        <v>129137</v>
      </c>
    </row>
    <row r="63" spans="1:10" x14ac:dyDescent="0.25">
      <c r="A63" t="s">
        <v>14</v>
      </c>
      <c r="B63">
        <v>2016</v>
      </c>
      <c r="C63">
        <v>340758</v>
      </c>
      <c r="D63">
        <v>4199</v>
      </c>
      <c r="E63">
        <v>6</v>
      </c>
      <c r="F63">
        <f t="shared" si="5"/>
        <v>64</v>
      </c>
      <c r="G63">
        <v>30</v>
      </c>
      <c r="H63">
        <v>22024</v>
      </c>
      <c r="I63">
        <f t="shared" si="3"/>
        <v>216826</v>
      </c>
      <c r="J63">
        <v>101908</v>
      </c>
    </row>
    <row r="64" spans="1:10" x14ac:dyDescent="0.25">
      <c r="A64" t="s">
        <v>14</v>
      </c>
      <c r="B64">
        <v>2015</v>
      </c>
      <c r="C64">
        <v>325253</v>
      </c>
      <c r="D64">
        <v>4130</v>
      </c>
      <c r="E64">
        <v>9</v>
      </c>
      <c r="F64">
        <f t="shared" si="5"/>
        <v>63</v>
      </c>
      <c r="G64">
        <v>28</v>
      </c>
      <c r="H64">
        <v>30073</v>
      </c>
      <c r="I64">
        <f t="shared" si="3"/>
        <v>203326</v>
      </c>
      <c r="J64">
        <v>91854</v>
      </c>
    </row>
    <row r="65" spans="1:10" x14ac:dyDescent="0.25">
      <c r="A65" t="s">
        <v>14</v>
      </c>
      <c r="B65">
        <v>2014</v>
      </c>
      <c r="C65">
        <v>315057</v>
      </c>
      <c r="D65">
        <v>4034</v>
      </c>
      <c r="E65">
        <v>8</v>
      </c>
      <c r="F65">
        <f t="shared" si="5"/>
        <v>76</v>
      </c>
      <c r="G65">
        <v>16</v>
      </c>
      <c r="H65">
        <v>25621</v>
      </c>
      <c r="I65">
        <f t="shared" si="3"/>
        <v>238386</v>
      </c>
      <c r="J65">
        <v>51050</v>
      </c>
    </row>
    <row r="66" spans="1:10" x14ac:dyDescent="0.25">
      <c r="A66" t="s">
        <v>14</v>
      </c>
      <c r="B66">
        <v>2013</v>
      </c>
      <c r="C66">
        <v>7903</v>
      </c>
      <c r="D66">
        <v>3753</v>
      </c>
      <c r="E66">
        <v>27</v>
      </c>
      <c r="F66">
        <f t="shared" si="5"/>
        <v>66</v>
      </c>
      <c r="G66">
        <v>7</v>
      </c>
      <c r="H66">
        <v>2164</v>
      </c>
      <c r="I66">
        <f t="shared" si="3"/>
        <v>5199</v>
      </c>
      <c r="J66">
        <v>540</v>
      </c>
    </row>
    <row r="67" spans="1:10" x14ac:dyDescent="0.25">
      <c r="A67" t="s">
        <v>14</v>
      </c>
      <c r="B67">
        <v>2012</v>
      </c>
      <c r="C67">
        <v>40681</v>
      </c>
      <c r="D67">
        <v>3659</v>
      </c>
      <c r="E67">
        <v>37</v>
      </c>
      <c r="F67">
        <f t="shared" si="5"/>
        <v>58</v>
      </c>
      <c r="G67">
        <v>5</v>
      </c>
      <c r="H67">
        <v>15070</v>
      </c>
      <c r="I67">
        <f t="shared" si="3"/>
        <v>23379</v>
      </c>
      <c r="J67">
        <v>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Morgan</dc:creator>
  <cp:lastModifiedBy>Preston Morgan</cp:lastModifiedBy>
  <dcterms:created xsi:type="dcterms:W3CDTF">2015-06-05T18:17:20Z</dcterms:created>
  <dcterms:modified xsi:type="dcterms:W3CDTF">2026-08-17T17:20:01Z</dcterms:modified>
</cp:coreProperties>
</file>